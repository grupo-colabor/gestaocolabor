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olaborconsultoria.sharepoint.com/sites/Colabor/Grupo Colabor/3 - Financeiro/2026/1- Boletim de Medição/1- Vale/08- BM's - 21.07 a 20.08/1- Corredor Sudeste/3- Mina de Cauê/"/>
    </mc:Choice>
  </mc:AlternateContent>
  <xr:revisionPtr revIDLastSave="327" documentId="13_ncr:1_{D558CDF9-A003-4D2B-9B07-8A76AB044C28}" xr6:coauthVersionLast="47" xr6:coauthVersionMax="47" xr10:uidLastSave="{70262FA4-E280-4F6A-9290-4DC65866B06B}"/>
  <bookViews>
    <workbookView xWindow="28680" yWindow="615" windowWidth="29040" windowHeight="15720" xr2:uid="{00000000-000D-0000-FFFF-FFFF00000000}"/>
  </bookViews>
  <sheets>
    <sheet name="Turmas Realizadas" sheetId="3" r:id="rId1"/>
    <sheet name="Planta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I9" i="3" l="1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P2" i="3"/>
  <c r="G33" i="3"/>
  <c r="M33" i="3"/>
  <c r="N33" i="3"/>
  <c r="K33" i="3"/>
  <c r="I7" i="3"/>
  <c r="I8" i="3"/>
  <c r="I23" i="3"/>
  <c r="I24" i="3"/>
  <c r="I25" i="3"/>
  <c r="I26" i="3"/>
  <c r="I6" i="3"/>
  <c r="I27" i="3"/>
  <c r="I28" i="3"/>
  <c r="I29" i="3"/>
  <c r="I30" i="3"/>
  <c r="I31" i="3"/>
  <c r="I32" i="3"/>
  <c r="I3" i="3"/>
  <c r="I4" i="3"/>
  <c r="I5" i="3"/>
  <c r="I2" i="3"/>
  <c r="L33" i="3" l="1"/>
  <c r="P33" i="3"/>
  <c r="J33" i="3"/>
  <c r="I3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tc={21523840-D2D0-4068-8312-024C7630F172}</author>
  </authors>
  <commentList>
    <comment ref="O1" authorId="0" shapeId="0" xr:uid="{21523840-D2D0-4068-8312-024C7630F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Incluir o % de despesas do contrato</t>
      </text>
    </comment>
  </commentList>
</comments>
</file>

<file path=xl/sharedStrings.xml><?xml version="1.0" encoding="utf-8"?>
<sst xmlns="http://schemas.openxmlformats.org/spreadsheetml/2006/main" count="67" uniqueCount="54">
  <si>
    <t>Treinamento</t>
  </si>
  <si>
    <t>Horário</t>
  </si>
  <si>
    <t>ID da Turma</t>
  </si>
  <si>
    <t>Carga horária</t>
  </si>
  <si>
    <t>Data</t>
  </si>
  <si>
    <t>Preço unitário HH</t>
  </si>
  <si>
    <t>Despesa reembolsável (locação veículo/táxi)</t>
  </si>
  <si>
    <t>Despesa reembolsável (combustível)</t>
  </si>
  <si>
    <t>Despesa reembolsável (alimentação)</t>
  </si>
  <si>
    <t>Despesa reembolsável (hospedagem)</t>
  </si>
  <si>
    <t>Despesa reembolsável (outros)</t>
  </si>
  <si>
    <t>Observação</t>
  </si>
  <si>
    <t>Valor total despesas</t>
  </si>
  <si>
    <t>Número do anexo</t>
  </si>
  <si>
    <t>Consultor</t>
  </si>
  <si>
    <t xml:space="preserve">Planta </t>
  </si>
  <si>
    <t>Mutuca</t>
  </si>
  <si>
    <t>Mar Azul</t>
  </si>
  <si>
    <t>incluir no BM de Mutuca se houver turma</t>
  </si>
  <si>
    <t>Vargem Grande</t>
  </si>
  <si>
    <t>Fábrica</t>
  </si>
  <si>
    <t>Site</t>
  </si>
  <si>
    <t>Cidade</t>
  </si>
  <si>
    <t>Nova Lima</t>
  </si>
  <si>
    <t>Ouro Preto</t>
  </si>
  <si>
    <t>Concórdia</t>
  </si>
  <si>
    <t>Brumadinho</t>
  </si>
  <si>
    <t>Sarzedo</t>
  </si>
  <si>
    <t>Belo Horizonte</t>
  </si>
  <si>
    <t>Rio de Janeiro</t>
  </si>
  <si>
    <t>Itaguaí</t>
  </si>
  <si>
    <t>Torre - Botafogo</t>
  </si>
  <si>
    <t>Catas Altas</t>
  </si>
  <si>
    <t xml:space="preserve">Caue </t>
  </si>
  <si>
    <t>Itabira</t>
  </si>
  <si>
    <t>Brucutu</t>
  </si>
  <si>
    <t>São Gonçalo do Rio Abaixo</t>
  </si>
  <si>
    <t>EFVM</t>
  </si>
  <si>
    <t>Nova Era</t>
  </si>
  <si>
    <t>Costa Lacerda (Santa Bárbara)</t>
  </si>
  <si>
    <t>Conselheiro Pena</t>
  </si>
  <si>
    <t>Governador Valadares</t>
  </si>
  <si>
    <t>Vitoria</t>
  </si>
  <si>
    <t>Serra</t>
  </si>
  <si>
    <t>Mário Carvalho</t>
  </si>
  <si>
    <t>Ipatinga</t>
  </si>
  <si>
    <t>Barao de Cocais</t>
  </si>
  <si>
    <t>Vale SA</t>
  </si>
  <si>
    <t>Simões Filho - BA</t>
  </si>
  <si>
    <t>Timbopeba</t>
  </si>
  <si>
    <t>Fazendao</t>
  </si>
  <si>
    <t>Valor total do treinamento</t>
  </si>
  <si>
    <t>% despesa reembolsável</t>
  </si>
  <si>
    <t xml:space="preserve">Local Treinamento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</si>
</sst>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 wrapText="1"/>
    </xf>
    <xf numFmtId="9" fontId="3" fillId="0" borderId="0" xfId="2" applyFont="1"/>
    <xf numFmtId="10" fontId="3" fillId="0" borderId="1" xfId="2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0" fillId="0" borderId="1" xfId="0" applyBorder="1"/>
  </cellXfs>
  <cellStyles count="3">
    <cellStyle name="Moeda 2" xfId="1" xr:uid="{00000000-0005-0000-0000-000000000000}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a Marotta" id="{880F379E-4B3E-489E-84B3-C6210C67EF98}" userId="S::ana.marotta@vale.com::85ce0dde-4de2-4d90-9749-8daa373169f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6-08-07T12:29:46.60" personId="{880F379E-4B3E-489E-84B3-C6210C67EF98}" id="{21523840-D2D0-4068-8312-024C7630F172}">
    <text>Incluir o % de despesas do contrato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"/>
  <sheetViews>
    <sheetView showGridLines="0" tabSelected="1" workbookViewId="0">
      <selection activeCell="E10" sqref="E10"/>
    </sheetView>
  </sheetViews>
  <sheetFormatPr defaultColWidth="9.109375" defaultRowHeight="12" x14ac:dyDescent="0.25"/>
  <cols>
    <col min="1" max="1" width="9.109375" style="2"/>
    <col min="2" max="2" width="10" style="2" customWidth="1"/>
    <col min="3" max="3" width="36.33203125" style="2" customWidth="1"/>
    <col min="4" max="4" width="14" style="2" customWidth="1"/>
    <col min="5" max="5" width="10.44140625" style="2" customWidth="1"/>
    <col min="6" max="6" width="9.88671875" style="2" bestFit="1" customWidth="1"/>
    <col min="7" max="7" width="6.109375" style="2" customWidth="1"/>
    <col min="8" max="8" width="9.33203125" style="2" customWidth="1"/>
    <col min="9" max="14" width="11.109375" style="2" customWidth="1"/>
    <col min="15" max="15" width="11.109375" style="18" customWidth="1"/>
    <col min="16" max="16" width="9.44140625" style="2" customWidth="1"/>
    <col min="17" max="17" width="20.44140625" style="2" customWidth="1"/>
    <col min="18" max="18" width="33.6640625" style="2" customWidth="1"/>
    <col min="19" max="16384" width="9.109375" style="1"/>
  </cols>
  <sheetData>
    <row r="1" spans="1:19" s="3" customFormat="1" ht="50.25" customHeight="1" x14ac:dyDescent="0.3">
      <c r="A1" s="8" t="s">
        <v>13</v>
      </c>
      <c r="B1" s="7" t="s">
        <v>2</v>
      </c>
      <c r="C1" s="7" t="s">
        <v>0</v>
      </c>
      <c r="D1" s="7" t="s">
        <v>53</v>
      </c>
      <c r="E1" s="7" t="s">
        <v>4</v>
      </c>
      <c r="F1" s="7" t="s">
        <v>1</v>
      </c>
      <c r="G1" s="8" t="s">
        <v>3</v>
      </c>
      <c r="H1" s="8" t="s">
        <v>5</v>
      </c>
      <c r="I1" s="6" t="s">
        <v>51</v>
      </c>
      <c r="J1" s="8" t="s">
        <v>6</v>
      </c>
      <c r="K1" s="8" t="s">
        <v>7</v>
      </c>
      <c r="L1" s="8" t="s">
        <v>8</v>
      </c>
      <c r="M1" s="8" t="s">
        <v>9</v>
      </c>
      <c r="N1" s="8" t="s">
        <v>10</v>
      </c>
      <c r="O1" s="6" t="s">
        <v>52</v>
      </c>
      <c r="P1" s="6" t="s">
        <v>12</v>
      </c>
      <c r="Q1" s="8" t="s">
        <v>14</v>
      </c>
      <c r="R1" s="8" t="s">
        <v>11</v>
      </c>
    </row>
    <row r="2" spans="1:19" ht="41.25" customHeight="1" x14ac:dyDescent="0.25">
      <c r="A2" s="4">
        <v>1</v>
      </c>
      <c r="B2" s="4"/>
      <c r="C2" s="4"/>
      <c r="D2" s="4"/>
      <c r="E2" s="5"/>
      <c r="F2" s="4"/>
      <c r="G2" s="4"/>
      <c r="H2" s="4"/>
      <c r="I2" s="16">
        <f>G2*H2</f>
        <v>0</v>
      </c>
      <c r="J2" s="9"/>
      <c r="K2" s="9"/>
      <c r="L2" s="9"/>
      <c r="M2" s="9"/>
      <c r="N2" s="9"/>
      <c r="O2" s="19">
        <v>0.2</v>
      </c>
      <c r="P2" s="15">
        <f>SUM(J2:N2)+(SUM(J2:N2)*O2)</f>
        <v>0</v>
      </c>
      <c r="Q2" s="9"/>
      <c r="R2" s="17"/>
      <c r="S2" s="14"/>
    </row>
    <row r="3" spans="1:19" ht="15" customHeight="1" x14ac:dyDescent="0.25">
      <c r="A3" s="4">
        <v>2</v>
      </c>
      <c r="B3" s="4"/>
      <c r="C3" s="4"/>
      <c r="D3" s="4"/>
      <c r="E3" s="5"/>
      <c r="F3" s="4"/>
      <c r="G3" s="4"/>
      <c r="H3" s="4"/>
      <c r="I3" s="16">
        <f t="shared" ref="I3:I32" si="0">G3*H3</f>
        <v>0</v>
      </c>
      <c r="J3" s="10"/>
      <c r="K3" s="10"/>
      <c r="L3" s="10"/>
      <c r="M3" s="10"/>
      <c r="N3" s="10"/>
      <c r="O3" s="19">
        <v>0.2</v>
      </c>
      <c r="P3" s="15">
        <f t="shared" ref="P3:P32" si="1">SUM(J3:N3)+(SUM(J3:N3)*O3)</f>
        <v>0</v>
      </c>
      <c r="Q3" s="9"/>
      <c r="R3" s="10"/>
    </row>
    <row r="4" spans="1:19" x14ac:dyDescent="0.25">
      <c r="A4" s="4">
        <v>3</v>
      </c>
      <c r="B4" s="4"/>
      <c r="C4" s="4"/>
      <c r="D4" s="4"/>
      <c r="E4" s="5"/>
      <c r="F4" s="4"/>
      <c r="G4" s="4"/>
      <c r="H4" s="4"/>
      <c r="I4" s="16">
        <f t="shared" si="0"/>
        <v>0</v>
      </c>
      <c r="J4" s="10"/>
      <c r="K4" s="10"/>
      <c r="L4" s="10"/>
      <c r="M4" s="10"/>
      <c r="N4" s="10"/>
      <c r="O4" s="19">
        <v>0.2</v>
      </c>
      <c r="P4" s="15">
        <f t="shared" si="1"/>
        <v>0</v>
      </c>
      <c r="Q4" s="9"/>
      <c r="R4" s="10"/>
    </row>
    <row r="5" spans="1:19" x14ac:dyDescent="0.25">
      <c r="A5" s="4">
        <v>4</v>
      </c>
      <c r="B5" s="4"/>
      <c r="C5" s="4"/>
      <c r="D5" s="4"/>
      <c r="E5" s="5"/>
      <c r="F5" s="4"/>
      <c r="G5" s="4"/>
      <c r="H5" s="4"/>
      <c r="I5" s="16">
        <f t="shared" si="0"/>
        <v>0</v>
      </c>
      <c r="J5" s="10"/>
      <c r="K5" s="10"/>
      <c r="L5" s="10"/>
      <c r="M5" s="10"/>
      <c r="N5" s="10"/>
      <c r="O5" s="19">
        <v>0.2</v>
      </c>
      <c r="P5" s="15">
        <f t="shared" si="1"/>
        <v>0</v>
      </c>
      <c r="Q5" s="9"/>
      <c r="R5" s="10"/>
    </row>
    <row r="6" spans="1:19" x14ac:dyDescent="0.25">
      <c r="A6" s="4"/>
      <c r="B6" s="4"/>
      <c r="C6" s="4"/>
      <c r="D6" s="4"/>
      <c r="E6" s="5"/>
      <c r="F6" s="4"/>
      <c r="G6" s="4"/>
      <c r="H6" s="4"/>
      <c r="I6" s="16">
        <f t="shared" si="0"/>
        <v>0</v>
      </c>
      <c r="J6" s="10"/>
      <c r="K6" s="10"/>
      <c r="L6" s="10"/>
      <c r="M6" s="10"/>
      <c r="N6" s="10"/>
      <c r="O6" s="19">
        <v>0.2</v>
      </c>
      <c r="P6" s="15">
        <f t="shared" si="1"/>
        <v>0</v>
      </c>
      <c r="Q6" s="9"/>
      <c r="R6" s="10"/>
    </row>
    <row r="7" spans="1:19" x14ac:dyDescent="0.25">
      <c r="A7" s="4"/>
      <c r="B7" s="4"/>
      <c r="C7" s="4"/>
      <c r="D7" s="4"/>
      <c r="E7" s="5"/>
      <c r="F7" s="4"/>
      <c r="G7" s="4"/>
      <c r="H7" s="4"/>
      <c r="I7" s="16">
        <f t="shared" si="0"/>
        <v>0</v>
      </c>
      <c r="J7" s="10"/>
      <c r="K7" s="10"/>
      <c r="L7" s="10"/>
      <c r="M7" s="10"/>
      <c r="N7" s="10"/>
      <c r="O7" s="19">
        <v>0.2</v>
      </c>
      <c r="P7" s="15">
        <f t="shared" si="1"/>
        <v>0</v>
      </c>
      <c r="Q7" s="9"/>
      <c r="R7" s="10"/>
    </row>
    <row r="8" spans="1:19" x14ac:dyDescent="0.25">
      <c r="A8" s="4"/>
      <c r="B8" s="4"/>
      <c r="C8" s="4"/>
      <c r="D8" s="4"/>
      <c r="E8" s="5"/>
      <c r="F8" s="4"/>
      <c r="G8" s="4"/>
      <c r="H8" s="4"/>
      <c r="I8" s="16">
        <f t="shared" si="0"/>
        <v>0</v>
      </c>
      <c r="J8" s="10"/>
      <c r="K8" s="10"/>
      <c r="L8" s="10"/>
      <c r="M8" s="10"/>
      <c r="N8" s="10"/>
      <c r="O8" s="19">
        <v>0.2</v>
      </c>
      <c r="P8" s="15">
        <f t="shared" si="1"/>
        <v>0</v>
      </c>
      <c r="Q8" s="9"/>
      <c r="R8" s="10"/>
    </row>
    <row r="9" spans="1:19" x14ac:dyDescent="0.25">
      <c r="A9" s="4"/>
      <c r="B9" s="4"/>
      <c r="C9" s="4"/>
      <c r="D9" s="4"/>
      <c r="E9" s="5"/>
      <c r="F9" s="4"/>
      <c r="G9" s="4"/>
      <c r="H9" s="4"/>
      <c r="I9" s="16">
        <f t="shared" si="0"/>
        <v>0</v>
      </c>
      <c r="J9" s="10"/>
      <c r="K9" s="10"/>
      <c r="L9" s="10"/>
      <c r="M9" s="10"/>
      <c r="N9" s="10"/>
      <c r="O9" s="19">
        <v>0.2</v>
      </c>
      <c r="P9" s="15">
        <f t="shared" si="1"/>
        <v>0</v>
      </c>
      <c r="Q9" s="9"/>
      <c r="R9" s="10"/>
    </row>
    <row r="10" spans="1:19" x14ac:dyDescent="0.25">
      <c r="A10" s="4"/>
      <c r="B10" s="4"/>
      <c r="C10" s="4"/>
      <c r="D10" s="4"/>
      <c r="E10" s="5"/>
      <c r="F10" s="4"/>
      <c r="G10" s="4"/>
      <c r="H10" s="4"/>
      <c r="I10" s="16">
        <f t="shared" si="0"/>
        <v>0</v>
      </c>
      <c r="J10" s="10"/>
      <c r="K10" s="10"/>
      <c r="L10" s="10"/>
      <c r="M10" s="10"/>
      <c r="N10" s="10"/>
      <c r="O10" s="19">
        <v>0.2</v>
      </c>
      <c r="P10" s="15">
        <f t="shared" si="1"/>
        <v>0</v>
      </c>
      <c r="Q10" s="9"/>
      <c r="R10" s="10"/>
    </row>
    <row r="11" spans="1:19" x14ac:dyDescent="0.25">
      <c r="A11" s="4"/>
      <c r="B11" s="4"/>
      <c r="C11" s="4"/>
      <c r="D11" s="4"/>
      <c r="E11" s="5"/>
      <c r="F11" s="4"/>
      <c r="G11" s="4"/>
      <c r="H11" s="4"/>
      <c r="I11" s="16">
        <f t="shared" si="0"/>
        <v>0</v>
      </c>
      <c r="J11" s="10"/>
      <c r="K11" s="10"/>
      <c r="L11" s="10"/>
      <c r="M11" s="10"/>
      <c r="N11" s="10"/>
      <c r="O11" s="19">
        <v>0.2</v>
      </c>
      <c r="P11" s="15">
        <f t="shared" si="1"/>
        <v>0</v>
      </c>
      <c r="Q11" s="9"/>
      <c r="R11" s="10"/>
    </row>
    <row r="12" spans="1:19" x14ac:dyDescent="0.25">
      <c r="A12" s="4"/>
      <c r="B12" s="4"/>
      <c r="C12" s="4"/>
      <c r="D12" s="4"/>
      <c r="E12" s="5"/>
      <c r="F12" s="4"/>
      <c r="G12" s="4"/>
      <c r="H12" s="4"/>
      <c r="I12" s="16">
        <f t="shared" si="0"/>
        <v>0</v>
      </c>
      <c r="J12" s="10"/>
      <c r="K12" s="10"/>
      <c r="L12" s="10"/>
      <c r="M12" s="10"/>
      <c r="N12" s="10"/>
      <c r="O12" s="19">
        <v>0.2</v>
      </c>
      <c r="P12" s="15">
        <f t="shared" si="1"/>
        <v>0</v>
      </c>
      <c r="Q12" s="9"/>
      <c r="R12" s="10"/>
    </row>
    <row r="13" spans="1:19" x14ac:dyDescent="0.25">
      <c r="A13" s="4"/>
      <c r="B13" s="4"/>
      <c r="C13" s="4"/>
      <c r="D13" s="4"/>
      <c r="E13" s="5"/>
      <c r="F13" s="4"/>
      <c r="G13" s="4"/>
      <c r="H13" s="4"/>
      <c r="I13" s="16">
        <f t="shared" si="0"/>
        <v>0</v>
      </c>
      <c r="J13" s="10"/>
      <c r="K13" s="10"/>
      <c r="L13" s="10"/>
      <c r="M13" s="10"/>
      <c r="N13" s="10"/>
      <c r="O13" s="19">
        <v>0.2</v>
      </c>
      <c r="P13" s="15">
        <f t="shared" si="1"/>
        <v>0</v>
      </c>
      <c r="Q13" s="9"/>
      <c r="R13" s="10"/>
    </row>
    <row r="14" spans="1:19" x14ac:dyDescent="0.25">
      <c r="A14" s="4"/>
      <c r="B14" s="4"/>
      <c r="C14" s="4"/>
      <c r="D14" s="4"/>
      <c r="E14" s="5"/>
      <c r="F14" s="4"/>
      <c r="G14" s="4"/>
      <c r="H14" s="4"/>
      <c r="I14" s="16">
        <f t="shared" si="0"/>
        <v>0</v>
      </c>
      <c r="J14" s="10"/>
      <c r="K14" s="10"/>
      <c r="L14" s="10"/>
      <c r="M14" s="10"/>
      <c r="N14" s="10"/>
      <c r="O14" s="19">
        <v>0.2</v>
      </c>
      <c r="P14" s="15">
        <f t="shared" si="1"/>
        <v>0</v>
      </c>
      <c r="Q14" s="9"/>
      <c r="R14" s="10"/>
    </row>
    <row r="15" spans="1:19" x14ac:dyDescent="0.25">
      <c r="A15" s="4"/>
      <c r="B15" s="4"/>
      <c r="C15" s="4"/>
      <c r="D15" s="4"/>
      <c r="E15" s="5"/>
      <c r="F15" s="4"/>
      <c r="G15" s="4"/>
      <c r="H15" s="4"/>
      <c r="I15" s="16">
        <f t="shared" si="0"/>
        <v>0</v>
      </c>
      <c r="J15" s="10"/>
      <c r="K15" s="10"/>
      <c r="L15" s="10"/>
      <c r="M15" s="10"/>
      <c r="N15" s="10"/>
      <c r="O15" s="19">
        <v>0.2</v>
      </c>
      <c r="P15" s="15">
        <f t="shared" si="1"/>
        <v>0</v>
      </c>
      <c r="Q15" s="9"/>
      <c r="R15" s="10"/>
    </row>
    <row r="16" spans="1:19" x14ac:dyDescent="0.25">
      <c r="A16" s="4"/>
      <c r="B16" s="4"/>
      <c r="C16" s="4"/>
      <c r="D16" s="4"/>
      <c r="E16" s="5"/>
      <c r="F16" s="4"/>
      <c r="G16" s="4"/>
      <c r="H16" s="4"/>
      <c r="I16" s="16">
        <f t="shared" si="0"/>
        <v>0</v>
      </c>
      <c r="J16" s="10"/>
      <c r="K16" s="10"/>
      <c r="L16" s="10"/>
      <c r="M16" s="10"/>
      <c r="N16" s="10"/>
      <c r="O16" s="19">
        <v>0.2</v>
      </c>
      <c r="P16" s="15">
        <f t="shared" si="1"/>
        <v>0</v>
      </c>
      <c r="Q16" s="9"/>
      <c r="R16" s="10"/>
    </row>
    <row r="17" spans="1:18" x14ac:dyDescent="0.25">
      <c r="A17" s="4"/>
      <c r="B17" s="4"/>
      <c r="C17" s="4"/>
      <c r="D17" s="4"/>
      <c r="E17" s="5"/>
      <c r="F17" s="4"/>
      <c r="G17" s="4"/>
      <c r="H17" s="4"/>
      <c r="I17" s="16">
        <f t="shared" si="0"/>
        <v>0</v>
      </c>
      <c r="J17" s="10"/>
      <c r="K17" s="10"/>
      <c r="L17" s="10"/>
      <c r="M17" s="10"/>
      <c r="N17" s="10"/>
      <c r="O17" s="19">
        <v>0.2</v>
      </c>
      <c r="P17" s="15">
        <f t="shared" si="1"/>
        <v>0</v>
      </c>
      <c r="Q17" s="9"/>
      <c r="R17" s="10"/>
    </row>
    <row r="18" spans="1:18" x14ac:dyDescent="0.25">
      <c r="A18" s="4"/>
      <c r="B18" s="4"/>
      <c r="C18" s="4"/>
      <c r="D18" s="4"/>
      <c r="E18" s="5"/>
      <c r="F18" s="4"/>
      <c r="G18" s="4"/>
      <c r="H18" s="4"/>
      <c r="I18" s="16">
        <f t="shared" si="0"/>
        <v>0</v>
      </c>
      <c r="J18" s="10"/>
      <c r="K18" s="10"/>
      <c r="L18" s="10"/>
      <c r="M18" s="10"/>
      <c r="N18" s="10"/>
      <c r="O18" s="19">
        <v>0.2</v>
      </c>
      <c r="P18" s="15">
        <f t="shared" si="1"/>
        <v>0</v>
      </c>
      <c r="Q18" s="9"/>
      <c r="R18" s="10"/>
    </row>
    <row r="19" spans="1:18" x14ac:dyDescent="0.25">
      <c r="A19" s="4"/>
      <c r="B19" s="4"/>
      <c r="C19" s="4"/>
      <c r="D19" s="4"/>
      <c r="E19" s="5"/>
      <c r="F19" s="4"/>
      <c r="G19" s="4"/>
      <c r="H19" s="4"/>
      <c r="I19" s="16">
        <f t="shared" si="0"/>
        <v>0</v>
      </c>
      <c r="J19" s="10"/>
      <c r="K19" s="10"/>
      <c r="L19" s="10"/>
      <c r="M19" s="10"/>
      <c r="N19" s="10"/>
      <c r="O19" s="19">
        <v>0.2</v>
      </c>
      <c r="P19" s="15">
        <f t="shared" si="1"/>
        <v>0</v>
      </c>
      <c r="Q19" s="9"/>
      <c r="R19" s="10"/>
    </row>
    <row r="20" spans="1:18" x14ac:dyDescent="0.25">
      <c r="A20" s="4"/>
      <c r="B20" s="4"/>
      <c r="C20" s="4"/>
      <c r="D20" s="4"/>
      <c r="E20" s="5"/>
      <c r="F20" s="4"/>
      <c r="G20" s="4"/>
      <c r="H20" s="4"/>
      <c r="I20" s="16">
        <f t="shared" si="0"/>
        <v>0</v>
      </c>
      <c r="J20" s="10"/>
      <c r="K20" s="10"/>
      <c r="L20" s="10"/>
      <c r="M20" s="10"/>
      <c r="N20" s="10"/>
      <c r="O20" s="19">
        <v>0.2</v>
      </c>
      <c r="P20" s="15">
        <f t="shared" si="1"/>
        <v>0</v>
      </c>
      <c r="Q20" s="9"/>
      <c r="R20" s="10"/>
    </row>
    <row r="21" spans="1:18" x14ac:dyDescent="0.25">
      <c r="A21" s="4"/>
      <c r="B21" s="4"/>
      <c r="C21" s="4"/>
      <c r="D21" s="4"/>
      <c r="E21" s="5"/>
      <c r="F21" s="4"/>
      <c r="G21" s="4"/>
      <c r="H21" s="4"/>
      <c r="I21" s="16">
        <f t="shared" si="0"/>
        <v>0</v>
      </c>
      <c r="J21" s="10"/>
      <c r="K21" s="10"/>
      <c r="L21" s="10"/>
      <c r="M21" s="10"/>
      <c r="N21" s="10"/>
      <c r="O21" s="19">
        <v>0.2</v>
      </c>
      <c r="P21" s="15">
        <f t="shared" si="1"/>
        <v>0</v>
      </c>
      <c r="Q21" s="9"/>
      <c r="R21" s="10"/>
    </row>
    <row r="22" spans="1:18" x14ac:dyDescent="0.25">
      <c r="A22" s="4"/>
      <c r="B22" s="4"/>
      <c r="C22" s="4"/>
      <c r="D22" s="4"/>
      <c r="E22" s="5"/>
      <c r="F22" s="4"/>
      <c r="G22" s="4"/>
      <c r="H22" s="4"/>
      <c r="I22" s="16">
        <f t="shared" si="0"/>
        <v>0</v>
      </c>
      <c r="J22" s="10"/>
      <c r="K22" s="10"/>
      <c r="L22" s="10"/>
      <c r="M22" s="10"/>
      <c r="N22" s="10"/>
      <c r="O22" s="19">
        <v>0.2</v>
      </c>
      <c r="P22" s="15">
        <f t="shared" si="1"/>
        <v>0</v>
      </c>
      <c r="Q22" s="9"/>
      <c r="R22" s="10"/>
    </row>
    <row r="23" spans="1:18" x14ac:dyDescent="0.25">
      <c r="A23" s="4"/>
      <c r="B23" s="4"/>
      <c r="C23" s="4"/>
      <c r="D23" s="4"/>
      <c r="E23" s="5"/>
      <c r="F23" s="4"/>
      <c r="G23" s="4"/>
      <c r="H23" s="4"/>
      <c r="I23" s="16">
        <f t="shared" si="0"/>
        <v>0</v>
      </c>
      <c r="J23" s="10"/>
      <c r="K23" s="10"/>
      <c r="L23" s="10"/>
      <c r="M23" s="10"/>
      <c r="N23" s="10"/>
      <c r="O23" s="19">
        <v>0.2</v>
      </c>
      <c r="P23" s="15">
        <f t="shared" si="1"/>
        <v>0</v>
      </c>
      <c r="Q23" s="9"/>
      <c r="R23" s="10"/>
    </row>
    <row r="24" spans="1:18" x14ac:dyDescent="0.25">
      <c r="A24" s="4"/>
      <c r="B24" s="4"/>
      <c r="C24" s="4"/>
      <c r="D24" s="4"/>
      <c r="E24" s="5"/>
      <c r="F24" s="4"/>
      <c r="G24" s="4"/>
      <c r="H24" s="4"/>
      <c r="I24" s="16">
        <f t="shared" si="0"/>
        <v>0</v>
      </c>
      <c r="J24" s="10"/>
      <c r="K24" s="10"/>
      <c r="L24" s="10"/>
      <c r="M24" s="10"/>
      <c r="N24" s="10"/>
      <c r="O24" s="19">
        <v>0.2</v>
      </c>
      <c r="P24" s="15">
        <f t="shared" si="1"/>
        <v>0</v>
      </c>
      <c r="Q24" s="9"/>
      <c r="R24" s="10"/>
    </row>
    <row r="25" spans="1:18" x14ac:dyDescent="0.25">
      <c r="A25" s="4"/>
      <c r="B25" s="4"/>
      <c r="C25" s="4"/>
      <c r="D25" s="4"/>
      <c r="E25" s="5"/>
      <c r="F25" s="4"/>
      <c r="G25" s="4"/>
      <c r="H25" s="4"/>
      <c r="I25" s="16">
        <f t="shared" si="0"/>
        <v>0</v>
      </c>
      <c r="J25" s="10"/>
      <c r="K25" s="10"/>
      <c r="L25" s="10"/>
      <c r="M25" s="10"/>
      <c r="N25" s="10"/>
      <c r="O25" s="19">
        <v>0.2</v>
      </c>
      <c r="P25" s="15">
        <f t="shared" si="1"/>
        <v>0</v>
      </c>
      <c r="Q25" s="9"/>
      <c r="R25" s="10"/>
    </row>
    <row r="26" spans="1:18" x14ac:dyDescent="0.25">
      <c r="A26" s="4"/>
      <c r="B26" s="4"/>
      <c r="C26" s="4"/>
      <c r="D26" s="4"/>
      <c r="E26" s="5"/>
      <c r="F26" s="4"/>
      <c r="G26" s="4"/>
      <c r="H26" s="4"/>
      <c r="I26" s="16">
        <f t="shared" si="0"/>
        <v>0</v>
      </c>
      <c r="J26" s="10"/>
      <c r="K26" s="10"/>
      <c r="L26" s="10"/>
      <c r="M26" s="10"/>
      <c r="N26" s="10"/>
      <c r="O26" s="19">
        <v>0.2</v>
      </c>
      <c r="P26" s="15">
        <f t="shared" si="1"/>
        <v>0</v>
      </c>
      <c r="Q26" s="9"/>
      <c r="R26" s="10"/>
    </row>
    <row r="27" spans="1:18" x14ac:dyDescent="0.25">
      <c r="A27" s="4"/>
      <c r="B27" s="4"/>
      <c r="C27" s="4"/>
      <c r="D27" s="4"/>
      <c r="E27" s="5"/>
      <c r="F27" s="4"/>
      <c r="G27" s="4"/>
      <c r="H27" s="4"/>
      <c r="I27" s="16">
        <f t="shared" si="0"/>
        <v>0</v>
      </c>
      <c r="J27" s="10"/>
      <c r="K27" s="10"/>
      <c r="L27" s="10"/>
      <c r="M27" s="10"/>
      <c r="N27" s="10"/>
      <c r="O27" s="19">
        <v>0.2</v>
      </c>
      <c r="P27" s="15">
        <f t="shared" si="1"/>
        <v>0</v>
      </c>
      <c r="Q27" s="9"/>
      <c r="R27" s="10"/>
    </row>
    <row r="28" spans="1:18" x14ac:dyDescent="0.25">
      <c r="A28" s="4"/>
      <c r="B28" s="4"/>
      <c r="C28" s="4"/>
      <c r="D28" s="4"/>
      <c r="E28" s="5"/>
      <c r="F28" s="4"/>
      <c r="G28" s="4"/>
      <c r="H28" s="4"/>
      <c r="I28" s="16">
        <f t="shared" si="0"/>
        <v>0</v>
      </c>
      <c r="J28" s="10"/>
      <c r="K28" s="10"/>
      <c r="L28" s="10"/>
      <c r="M28" s="10"/>
      <c r="N28" s="10"/>
      <c r="O28" s="19">
        <v>0.2</v>
      </c>
      <c r="P28" s="15">
        <f t="shared" si="1"/>
        <v>0</v>
      </c>
      <c r="Q28" s="9"/>
      <c r="R28" s="10"/>
    </row>
    <row r="29" spans="1:18" x14ac:dyDescent="0.25">
      <c r="A29" s="4"/>
      <c r="B29" s="4"/>
      <c r="C29" s="4"/>
      <c r="D29" s="4"/>
      <c r="E29" s="5"/>
      <c r="F29" s="4"/>
      <c r="G29" s="4"/>
      <c r="H29" s="4"/>
      <c r="I29" s="16">
        <f t="shared" si="0"/>
        <v>0</v>
      </c>
      <c r="J29" s="10"/>
      <c r="K29" s="10"/>
      <c r="L29" s="10"/>
      <c r="M29" s="10"/>
      <c r="N29" s="10"/>
      <c r="O29" s="19">
        <v>0.2</v>
      </c>
      <c r="P29" s="15">
        <f t="shared" si="1"/>
        <v>0</v>
      </c>
      <c r="Q29" s="9"/>
      <c r="R29" s="10"/>
    </row>
    <row r="30" spans="1:18" x14ac:dyDescent="0.25">
      <c r="A30" s="4"/>
      <c r="B30" s="4"/>
      <c r="C30" s="4"/>
      <c r="D30" s="4"/>
      <c r="E30" s="5"/>
      <c r="F30" s="4"/>
      <c r="G30" s="4"/>
      <c r="H30" s="4"/>
      <c r="I30" s="16">
        <f t="shared" si="0"/>
        <v>0</v>
      </c>
      <c r="J30" s="10"/>
      <c r="K30" s="10"/>
      <c r="L30" s="10"/>
      <c r="M30" s="10"/>
      <c r="N30" s="10"/>
      <c r="O30" s="19">
        <v>0.2</v>
      </c>
      <c r="P30" s="15">
        <f t="shared" si="1"/>
        <v>0</v>
      </c>
      <c r="Q30" s="9"/>
      <c r="R30" s="10"/>
    </row>
    <row r="31" spans="1:18" x14ac:dyDescent="0.25">
      <c r="A31" s="4"/>
      <c r="B31" s="4"/>
      <c r="C31" s="4"/>
      <c r="D31" s="4"/>
      <c r="E31" s="5"/>
      <c r="F31" s="4"/>
      <c r="G31" s="4"/>
      <c r="H31" s="4"/>
      <c r="I31" s="16">
        <f t="shared" si="0"/>
        <v>0</v>
      </c>
      <c r="J31" s="10"/>
      <c r="K31" s="10"/>
      <c r="L31" s="10"/>
      <c r="M31" s="10"/>
      <c r="N31" s="10"/>
      <c r="O31" s="19">
        <v>0.2</v>
      </c>
      <c r="P31" s="15">
        <f t="shared" si="1"/>
        <v>0</v>
      </c>
      <c r="Q31" s="9"/>
      <c r="R31" s="10"/>
    </row>
    <row r="32" spans="1:18" x14ac:dyDescent="0.25">
      <c r="A32" s="4"/>
      <c r="B32" s="4"/>
      <c r="C32" s="4"/>
      <c r="D32" s="4"/>
      <c r="E32" s="5"/>
      <c r="F32" s="4"/>
      <c r="G32" s="4"/>
      <c r="H32" s="4"/>
      <c r="I32" s="16">
        <f t="shared" si="0"/>
        <v>0</v>
      </c>
      <c r="J32" s="10"/>
      <c r="K32" s="10"/>
      <c r="L32" s="10"/>
      <c r="M32" s="10"/>
      <c r="N32" s="10"/>
      <c r="O32" s="19">
        <v>0.2</v>
      </c>
      <c r="P32" s="15">
        <f t="shared" si="1"/>
        <v>0</v>
      </c>
      <c r="Q32" s="9"/>
      <c r="R32" s="10"/>
    </row>
    <row r="33" spans="1:16" x14ac:dyDescent="0.25">
      <c r="A33" s="11"/>
      <c r="B33" s="11"/>
      <c r="C33" s="11"/>
      <c r="D33" s="11"/>
      <c r="E33" s="11"/>
      <c r="F33" s="11"/>
      <c r="G33" s="13">
        <f>SUM(G2:G32)</f>
        <v>0</v>
      </c>
      <c r="H33" s="11"/>
      <c r="I33" s="12">
        <f>SUM(I2:I5)</f>
        <v>0</v>
      </c>
      <c r="J33" s="12">
        <f>SUM(J2:J32)</f>
        <v>0</v>
      </c>
      <c r="K33" s="12">
        <f>SUM(K2:K32)</f>
        <v>0</v>
      </c>
      <c r="L33" s="12">
        <f t="shared" ref="L33:P33" si="2">SUM(L2:L32)</f>
        <v>0</v>
      </c>
      <c r="M33" s="12">
        <f t="shared" si="2"/>
        <v>0</v>
      </c>
      <c r="N33" s="12">
        <f t="shared" si="2"/>
        <v>0</v>
      </c>
      <c r="P33" s="12">
        <f t="shared" si="2"/>
        <v>0</v>
      </c>
    </row>
  </sheetData>
  <pageMargins left="0.51181102362204722" right="0.51181102362204722" top="0.78740157480314965" bottom="0.78740157480314965" header="0.31496062992125984" footer="0.31496062992125984"/>
  <pageSetup paperSize="9" scale="60" fitToWidth="0" orientation="landscape" horizontalDpi="4294967293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B8CF1-9C6A-4C67-99B0-48520AD52432}">
  <dimension ref="A1:D23"/>
  <sheetViews>
    <sheetView showGridLines="0" workbookViewId="0">
      <selection activeCell="D6" sqref="D6"/>
    </sheetView>
  </sheetViews>
  <sheetFormatPr defaultRowHeight="14.4" x14ac:dyDescent="0.3"/>
  <cols>
    <col min="1" max="1" width="12.5546875" customWidth="1"/>
    <col min="2" max="2" width="22.88671875" customWidth="1"/>
    <col min="3" max="3" width="25.5546875" customWidth="1"/>
    <col min="4" max="4" width="33.5546875" bestFit="1" customWidth="1"/>
  </cols>
  <sheetData>
    <row r="1" spans="1:4" x14ac:dyDescent="0.3">
      <c r="A1" s="20" t="s">
        <v>15</v>
      </c>
      <c r="B1" s="21" t="s">
        <v>21</v>
      </c>
      <c r="C1" s="21" t="s">
        <v>22</v>
      </c>
      <c r="D1" s="21" t="s">
        <v>11</v>
      </c>
    </row>
    <row r="2" spans="1:4" x14ac:dyDescent="0.3">
      <c r="A2" s="22">
        <v>1111</v>
      </c>
      <c r="B2" s="22" t="s">
        <v>16</v>
      </c>
      <c r="C2" s="22" t="s">
        <v>23</v>
      </c>
      <c r="D2" s="23"/>
    </row>
    <row r="3" spans="1:4" x14ac:dyDescent="0.3">
      <c r="A3" s="22">
        <v>1111</v>
      </c>
      <c r="B3" s="22" t="s">
        <v>17</v>
      </c>
      <c r="C3" s="22" t="s">
        <v>23</v>
      </c>
      <c r="D3" s="23" t="s">
        <v>18</v>
      </c>
    </row>
    <row r="4" spans="1:4" x14ac:dyDescent="0.3">
      <c r="A4" s="24">
        <v>1118</v>
      </c>
      <c r="B4" s="24" t="s">
        <v>19</v>
      </c>
      <c r="C4" s="22" t="s">
        <v>23</v>
      </c>
      <c r="D4" s="24"/>
    </row>
    <row r="5" spans="1:4" x14ac:dyDescent="0.3">
      <c r="A5" s="24">
        <v>1095</v>
      </c>
      <c r="B5" s="24" t="s">
        <v>20</v>
      </c>
      <c r="C5" s="24" t="s">
        <v>24</v>
      </c>
      <c r="D5" s="24"/>
    </row>
    <row r="6" spans="1:4" x14ac:dyDescent="0.3">
      <c r="A6" s="24">
        <v>4384</v>
      </c>
      <c r="B6" s="24" t="s">
        <v>25</v>
      </c>
      <c r="C6" s="24" t="s">
        <v>23</v>
      </c>
      <c r="D6" s="24"/>
    </row>
    <row r="7" spans="1:4" x14ac:dyDescent="0.3">
      <c r="A7" s="24">
        <v>1107</v>
      </c>
      <c r="B7" s="24" t="s">
        <v>26</v>
      </c>
      <c r="C7" s="24" t="s">
        <v>27</v>
      </c>
      <c r="D7" s="24"/>
    </row>
    <row r="8" spans="1:4" x14ac:dyDescent="0.3">
      <c r="A8" s="24">
        <v>4007</v>
      </c>
      <c r="B8" s="24" t="s">
        <v>47</v>
      </c>
      <c r="C8" s="24" t="s">
        <v>28</v>
      </c>
      <c r="D8" s="24"/>
    </row>
    <row r="9" spans="1:4" x14ac:dyDescent="0.3">
      <c r="A9" s="24">
        <v>1124</v>
      </c>
      <c r="B9" s="24" t="s">
        <v>29</v>
      </c>
      <c r="C9" s="24" t="s">
        <v>30</v>
      </c>
      <c r="D9" s="24"/>
    </row>
    <row r="10" spans="1:4" x14ac:dyDescent="0.3">
      <c r="A10" s="24">
        <v>4002</v>
      </c>
      <c r="B10" s="24" t="s">
        <v>31</v>
      </c>
      <c r="C10" s="24" t="s">
        <v>29</v>
      </c>
      <c r="D10" s="24"/>
    </row>
    <row r="11" spans="1:4" x14ac:dyDescent="0.3">
      <c r="A11" s="24">
        <v>1079</v>
      </c>
      <c r="B11" s="24" t="s">
        <v>50</v>
      </c>
      <c r="C11" s="24" t="s">
        <v>32</v>
      </c>
      <c r="D11" s="24"/>
    </row>
    <row r="12" spans="1:4" x14ac:dyDescent="0.3">
      <c r="A12" s="24">
        <v>1074</v>
      </c>
      <c r="B12" s="24" t="s">
        <v>49</v>
      </c>
      <c r="C12" s="24" t="s">
        <v>24</v>
      </c>
      <c r="D12" s="24"/>
    </row>
    <row r="13" spans="1:4" x14ac:dyDescent="0.3">
      <c r="A13" s="24">
        <v>1070</v>
      </c>
      <c r="B13" s="24" t="s">
        <v>33</v>
      </c>
      <c r="C13" s="24" t="s">
        <v>34</v>
      </c>
      <c r="D13" s="24"/>
    </row>
    <row r="14" spans="1:4" x14ac:dyDescent="0.3">
      <c r="A14" s="24">
        <v>1083</v>
      </c>
      <c r="B14" s="24" t="s">
        <v>35</v>
      </c>
      <c r="C14" s="24" t="s">
        <v>36</v>
      </c>
      <c r="D14" s="24"/>
    </row>
    <row r="15" spans="1:4" x14ac:dyDescent="0.3">
      <c r="A15" s="24">
        <v>4052</v>
      </c>
      <c r="B15" s="24" t="s">
        <v>37</v>
      </c>
      <c r="C15" s="24" t="s">
        <v>38</v>
      </c>
      <c r="D15" s="24"/>
    </row>
    <row r="16" spans="1:4" x14ac:dyDescent="0.3">
      <c r="A16" s="24">
        <v>4207</v>
      </c>
      <c r="B16" s="24" t="s">
        <v>37</v>
      </c>
      <c r="C16" s="24" t="s">
        <v>39</v>
      </c>
      <c r="D16" s="23"/>
    </row>
    <row r="17" spans="1:4" x14ac:dyDescent="0.3">
      <c r="A17" s="24">
        <v>4208</v>
      </c>
      <c r="B17" s="24" t="s">
        <v>37</v>
      </c>
      <c r="C17" s="24" t="s">
        <v>40</v>
      </c>
      <c r="D17" s="23"/>
    </row>
    <row r="18" spans="1:4" x14ac:dyDescent="0.3">
      <c r="A18" s="24">
        <v>4059</v>
      </c>
      <c r="B18" s="24" t="s">
        <v>37</v>
      </c>
      <c r="C18" s="24" t="s">
        <v>41</v>
      </c>
      <c r="D18" s="23"/>
    </row>
    <row r="19" spans="1:4" x14ac:dyDescent="0.3">
      <c r="A19" s="24">
        <v>1090</v>
      </c>
      <c r="B19" s="24" t="s">
        <v>37</v>
      </c>
      <c r="C19" s="24" t="s">
        <v>42</v>
      </c>
      <c r="D19" s="25"/>
    </row>
    <row r="20" spans="1:4" x14ac:dyDescent="0.3">
      <c r="A20" s="24">
        <v>1090</v>
      </c>
      <c r="B20" s="24" t="s">
        <v>37</v>
      </c>
      <c r="C20" s="24" t="s">
        <v>43</v>
      </c>
      <c r="D20" s="25"/>
    </row>
    <row r="21" spans="1:4" x14ac:dyDescent="0.3">
      <c r="A21" s="24">
        <v>1042</v>
      </c>
      <c r="B21" s="24" t="s">
        <v>37</v>
      </c>
      <c r="C21" s="24" t="s">
        <v>48</v>
      </c>
      <c r="D21" s="25"/>
    </row>
    <row r="22" spans="1:4" x14ac:dyDescent="0.3">
      <c r="A22" s="24">
        <v>1086</v>
      </c>
      <c r="B22" s="24" t="s">
        <v>44</v>
      </c>
      <c r="C22" s="24" t="s">
        <v>45</v>
      </c>
      <c r="D22" s="25"/>
    </row>
    <row r="23" spans="1:4" x14ac:dyDescent="0.3">
      <c r="A23" s="24">
        <v>1086</v>
      </c>
      <c r="B23" s="24" t="s">
        <v>44</v>
      </c>
      <c r="C23" s="24" t="s">
        <v>46</v>
      </c>
      <c r="D23" s="25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64C13497A42740B73A13E229A74B27" ma:contentTypeVersion="13" ma:contentTypeDescription="Crie um novo documento." ma:contentTypeScope="" ma:versionID="780b7c6fa7dcb934ccb7fca04b3e8973">
  <xsd:schema xmlns:xsd="http://www.w3.org/2001/XMLSchema" xmlns:xs="http://www.w3.org/2001/XMLSchema" xmlns:p="http://schemas.microsoft.com/office/2006/metadata/properties" xmlns:ns2="f8423a24-9c3b-4785-a455-a256866b2267" xmlns:ns3="433e69e3-cead-4b9e-a281-de70f81e7229" targetNamespace="http://schemas.microsoft.com/office/2006/metadata/properties" ma:root="true" ma:fieldsID="28c4b4708e88f7db9413e6653ab3f7f4" ns2:_="" ns3:_="">
    <xsd:import namespace="f8423a24-9c3b-4785-a455-a256866b2267"/>
    <xsd:import namespace="433e69e3-cead-4b9e-a281-de70f81e72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423a24-9c3b-4785-a455-a256866b22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3e69e3-cead-4b9e-a281-de70f81e722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dab439b-1d18-4f94-ad48-e4860bd129cb}" ma:internalName="TaxCatchAll" ma:showField="CatchAllData" ma:web="433e69e3-cead-4b9e-a281-de70f81e72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3e69e3-cead-4b9e-a281-de70f81e7229" xsi:nil="true"/>
    <lcf76f155ced4ddcb4097134ff3c332f xmlns="f8423a24-9c3b-4785-a455-a256866b226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BD6894-323F-4ABF-8E87-BCDC58215B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423a24-9c3b-4785-a455-a256866b2267"/>
    <ds:schemaRef ds:uri="433e69e3-cead-4b9e-a281-de70f81e72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17BC1B-393A-40F1-9CED-5DAB667B2C26}">
  <ds:schemaRefs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1c741c52-ed4a-43ec-8503-3d027bfcc36f"/>
    <ds:schemaRef ds:uri="http://schemas.microsoft.com/sharepoint/v3"/>
    <ds:schemaRef ds:uri="http://schemas.microsoft.com/office/2006/metadata/properties"/>
    <ds:schemaRef ds:uri="433e69e3-cead-4b9e-a281-de70f81e7229"/>
    <ds:schemaRef ds:uri="f8423a24-9c3b-4785-a455-a256866b2267"/>
  </ds:schemaRefs>
</ds:datastoreItem>
</file>

<file path=customXml/itemProps3.xml><?xml version="1.0" encoding="utf-8"?>
<ds:datastoreItem xmlns:ds="http://schemas.openxmlformats.org/officeDocument/2006/customXml" ds:itemID="{1B9A90EE-B86B-4AE2-A418-7542FA9EEE4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Turmas Realizadas</vt:lpstr>
      <vt:lpstr>Plantas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netco</dc:creator>
  <cp:lastModifiedBy>Micaelle Costa</cp:lastModifiedBy>
  <cp:lastPrinted>2025-06-21T21:57:42Z</cp:lastPrinted>
  <dcterms:created xsi:type="dcterms:W3CDTF">2021-01-20T19:18:44Z</dcterms:created>
  <dcterms:modified xsi:type="dcterms:W3CDTF">2026-08-17T16:58:17Z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0x0101001664C13497A42740B73A13E229A74B27</vt:lpwstr>
  </property>
  <property fmtid="{D5CDD505-2E9C-101B-9397-08002B2CF9AE}" pid="3" name="MediaServiceImageTags">
    <vt:lpwstr/>
  </property>
</Properties>
</file>